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Workbook_______"/>
  <mc:AlternateContent xmlns:mc="http://schemas.openxmlformats.org/markup-compatibility/2006">
    <mc:Choice Requires="x15">
      <x15ac:absPath xmlns:x15ac="http://schemas.microsoft.com/office/spreadsheetml/2010/11/ac" url="C:\Users\wz\Desktop\#projects\#git\win_scripts\excel\"/>
    </mc:Choice>
  </mc:AlternateContent>
  <xr:revisionPtr revIDLastSave="0" documentId="13_ncr:1_{00E7F727-D195-4CD9-8666-1CEA2E626C41}" xr6:coauthVersionLast="47" xr6:coauthVersionMax="47" xr10:uidLastSave="{00000000-0000-0000-0000-000000000000}"/>
  <bookViews>
    <workbookView xWindow="-108" yWindow="-108" windowWidth="23256" windowHeight="12576" tabRatio="633" xr2:uid="{00000000-000D-0000-FFFF-FFFF00000000}"/>
  </bookViews>
  <sheets>
    <sheet name="2024-11" sheetId="6" r:id="rId1"/>
    <sheet name="FAQ" sheetId="8" r:id="rId2"/>
    <sheet name="Settings" sheetId="3" state="hidden" r:id="rId3"/>
  </sheets>
  <definedNames>
    <definedName name="_xlnm._FilterDatabase" localSheetId="0" hidden="1">'2024-11'!$B$5:$B$101</definedName>
    <definedName name="_xlnm._FilterDatabase" localSheetId="2" hidden="1">Settings!$AA$53:$AB$58</definedName>
    <definedName name="_xlnm.Print_Area" localSheetId="0">'2024-11'!$B$3:$X$36</definedName>
    <definedName name="_xlnm.Print_Area" localSheetId="2">Settings!#REF!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/>
  <c r="D11" i="8"/>
  <c r="D6" i="8"/>
  <c r="D2" i="8"/>
  <c r="B7" i="8"/>
  <c r="B4" i="6"/>
  <c r="AA5" i="6"/>
  <c r="AG2" i="3"/>
  <c r="AI2" i="3" s="1"/>
  <c r="AG3" i="3"/>
  <c r="AI3" i="3" s="1"/>
  <c r="AG4" i="3"/>
  <c r="AI4" i="3" s="1"/>
  <c r="AG5" i="3"/>
  <c r="AI5" i="3" s="1"/>
  <c r="AG6" i="3"/>
  <c r="AI6" i="3" s="1"/>
  <c r="AG7" i="3"/>
  <c r="AI7" i="3" s="1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I10" i="3" l="1"/>
  <c r="AI18" i="3"/>
  <c r="AI11" i="3"/>
  <c r="AI19" i="3"/>
  <c r="AI12" i="3"/>
  <c r="AI20" i="3"/>
  <c r="AI21" i="3"/>
  <c r="AI13" i="3"/>
  <c r="AI14" i="3"/>
  <c r="AI15" i="3"/>
  <c r="AI8" i="3"/>
  <c r="AI16" i="3"/>
  <c r="AI9" i="3"/>
  <c r="AI17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<sst xmlns="http://schemas.openxmlformats.org/spreadsheetml/2006/main" count="50" uniqueCount="42">
  <si>
    <t>ПІБ</t>
  </si>
  <si>
    <t>Оплата</t>
  </si>
  <si>
    <t>Залишок</t>
  </si>
  <si>
    <t>∑</t>
  </si>
  <si>
    <t>Пускає</t>
  </si>
  <si>
    <t>Історія</t>
  </si>
  <si>
    <t>Таблиця</t>
  </si>
  <si>
    <t>Друк</t>
  </si>
  <si>
    <t>Дні тижня</t>
  </si>
  <si>
    <t>1-7</t>
  </si>
  <si>
    <t>C1</t>
  </si>
  <si>
    <t>C2</t>
  </si>
  <si>
    <t>C3 (Date)</t>
  </si>
  <si>
    <t>C4</t>
  </si>
  <si>
    <t>B5:X56</t>
  </si>
  <si>
    <t>B3:X36</t>
  </si>
  <si>
    <t>Max</t>
  </si>
  <si>
    <t>?</t>
  </si>
  <si>
    <t>Settings</t>
  </si>
  <si>
    <t>Назва аркуша з налаштуваннями</t>
  </si>
  <si>
    <t>Рік-місяць</t>
  </si>
  <si>
    <t>2024-11</t>
  </si>
  <si>
    <t>Дати</t>
  </si>
  <si>
    <t>D5</t>
  </si>
  <si>
    <t>C3</t>
  </si>
  <si>
    <t>Dates</t>
  </si>
  <si>
    <t>1,3</t>
  </si>
  <si>
    <t>Групові заняття</t>
  </si>
  <si>
    <t>1. Open VBA editor — press [Alt+F11]</t>
  </si>
  <si>
    <t>2. In VBA editor:</t>
  </si>
  <si>
    <t>AA60</t>
  </si>
  <si>
    <t>3. Save as new .xlsm file</t>
  </si>
  <si>
    <t>Screenshots</t>
  </si>
  <si>
    <t>Customization</t>
  </si>
  <si>
    <t>Pre-Setup</t>
  </si>
  <si>
    <t>•  Choose Insert — Module (screenshot 1)</t>
  </si>
  <si>
    <t>•  Copy xlsm_list_table.vba content and paste into the module code (screenshot 2)</t>
  </si>
  <si>
    <t>•  Close VB editor window</t>
  </si>
  <si>
    <t>Usage</t>
  </si>
  <si>
    <r>
      <t xml:space="preserve">To use </t>
    </r>
    <r>
      <rPr>
        <b/>
        <sz val="12"/>
        <rFont val="Aptos Narrow"/>
        <family val="2"/>
      </rPr>
      <t>FillDates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CreateNewSheet</t>
    </r>
    <r>
      <rPr>
        <sz val="12"/>
        <rFont val="Aptos Narrow"/>
        <family val="2"/>
      </rPr>
      <t xml:space="preserve"> buttons all of the properties must be specified.</t>
    </r>
  </si>
  <si>
    <r>
      <t xml:space="preserve">To use </t>
    </r>
    <r>
      <rPr>
        <b/>
        <sz val="12"/>
        <rFont val="Aptos Narrow"/>
        <family val="2"/>
      </rPr>
      <t>Refresh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Delete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Undo</t>
    </r>
    <r>
      <rPr>
        <sz val="12"/>
        <rFont val="Aptos Narrow"/>
        <family val="2"/>
      </rPr>
      <t xml:space="preserve">, </t>
    </r>
    <r>
      <rPr>
        <b/>
        <sz val="12"/>
        <rFont val="Aptos Narrow"/>
        <family val="2"/>
      </rPr>
      <t>PrintArea</t>
    </r>
    <r>
      <rPr>
        <sz val="12"/>
        <rFont val="Aptos Narrow"/>
        <family val="2"/>
      </rPr>
      <t xml:space="preserve"> these properties must be specified: </t>
    </r>
    <r>
      <rPr>
        <i/>
        <sz val="12"/>
        <rFont val="Aptos Narrow"/>
        <family val="2"/>
      </rPr>
      <t>YearMonth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Table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Print</t>
    </r>
    <r>
      <rPr>
        <sz val="12"/>
        <rFont val="Aptos Narrow"/>
        <family val="2"/>
      </rPr>
      <t xml:space="preserve">, </t>
    </r>
    <r>
      <rPr>
        <i/>
        <sz val="12"/>
        <rFont val="Aptos Narrow"/>
        <family val="2"/>
      </rPr>
      <t>Trash</t>
    </r>
    <r>
      <rPr>
        <sz val="12"/>
        <rFont val="Aptos Narrow"/>
        <family val="2"/>
      </rPr>
      <t>.</t>
    </r>
  </si>
  <si>
    <t>Author: boredwz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</si>
</sst>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5" x14ac:knownFonts="1">
    <font>
      <sz val="11"/>
      <name val="Calibri"/>
      <scheme val="minor"/>
    </font>
    <font>
      <b/>
      <sz val="12"/>
      <name val="Aptos Narrow"/>
      <family val="2"/>
    </font>
    <font>
      <sz val="12"/>
      <name val="Aptos Narrow"/>
      <family val="2"/>
    </font>
    <font>
      <b/>
      <sz val="14"/>
      <name val="Aptos Narrow"/>
      <family val="2"/>
    </font>
    <font>
      <sz val="14"/>
      <name val="Aptos Narrow"/>
      <family val="2"/>
    </font>
    <font>
      <b/>
      <sz val="12"/>
      <color theme="1"/>
      <name val="Aptos Narrow"/>
      <family val="2"/>
    </font>
    <font>
      <sz val="10"/>
      <color rgb="FF000000"/>
      <name val="Aptos Narrow"/>
      <family val="2"/>
    </font>
    <font>
      <sz val="12"/>
      <color theme="0"/>
      <name val="Aptos Narrow"/>
      <family val="2"/>
    </font>
    <font>
      <u/>
      <sz val="11"/>
      <color theme="10"/>
      <name val="Calibri"/>
      <family val="2"/>
      <scheme val="minor"/>
    </font>
    <font>
      <b/>
      <sz val="22"/>
      <name val="Aptos Narrow"/>
      <family val="2"/>
    </font>
    <font>
      <i/>
      <sz val="12"/>
      <name val="Aptos Narrow"/>
      <family val="2"/>
    </font>
    <font>
      <i/>
      <u/>
      <sz val="11"/>
      <color theme="10"/>
      <name val="Calibri"/>
      <family val="2"/>
      <scheme val="minor"/>
    </font>
    <font>
      <sz val="12"/>
      <color theme="0" tint="-0.249977111117893"/>
      <name val="Aptos Narrow"/>
      <family val="2"/>
    </font>
    <font>
      <b/>
      <i/>
      <sz val="22"/>
      <name val="Aptos Narrow"/>
      <family val="2"/>
    </font>
    <font>
      <sz val="12"/>
      <color theme="1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/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49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164" fontId="4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0" xfId="0" quotePrefix="1" applyFont="1"/>
    <xf numFmtId="164" fontId="2" fillId="0" borderId="0" xfId="0" applyNumberFormat="1" applyFont="1" applyAlignment="1">
      <alignment horizontal="left" vertical="center"/>
    </xf>
    <xf numFmtId="0" fontId="7" fillId="0" borderId="0" xfId="0" applyFont="1" applyAlignment="1">
      <alignment wrapText="1"/>
    </xf>
    <xf numFmtId="0" fontId="2" fillId="3" borderId="0" xfId="0" applyFont="1" applyFill="1"/>
    <xf numFmtId="0" fontId="2" fillId="0" borderId="0" xfId="0" applyFont="1" applyAlignment="1">
      <alignment wrapText="1"/>
    </xf>
    <xf numFmtId="49" fontId="1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 wrapText="1"/>
    </xf>
    <xf numFmtId="0" fontId="9" fillId="4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wrapText="1" indent="1"/>
    </xf>
    <xf numFmtId="0" fontId="4" fillId="4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 indent="2"/>
    </xf>
    <xf numFmtId="0" fontId="2" fillId="4" borderId="0" xfId="0" applyFont="1" applyFill="1" applyAlignment="1">
      <alignment horizontal="left" vertical="center" wrapText="1"/>
    </xf>
    <xf numFmtId="0" fontId="11" fillId="4" borderId="0" xfId="1" applyFont="1" applyFill="1" applyAlignment="1">
      <alignment horizontal="right" vertical="top" wrapText="1"/>
    </xf>
    <xf numFmtId="0" fontId="8" fillId="4" borderId="0" xfId="1" applyFill="1" applyAlignment="1">
      <alignment horizontal="right" vertical="center" wrapText="1"/>
    </xf>
    <xf numFmtId="0" fontId="12" fillId="4" borderId="0" xfId="0" applyFont="1" applyFill="1" applyAlignment="1">
      <alignment horizontal="center" vertical="center"/>
    </xf>
    <xf numFmtId="0" fontId="14" fillId="0" borderId="0" xfId="1" applyFont="1" applyAlignment="1">
      <alignment vertical="top"/>
    </xf>
    <xf numFmtId="0" fontId="2" fillId="4" borderId="0" xfId="0" applyFont="1" applyFill="1" applyAlignment="1">
      <alignment horizontal="left" wrapText="1"/>
    </xf>
    <xf numFmtId="0" fontId="13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</cellXfs>
  <cellStyles count="2">
    <cellStyle name="Гіперпосилання" xfId="1" builtinId="8"/>
    <cellStyle name="Звичайни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746760</xdr:colOff>
          <xdr:row>0</xdr:row>
          <xdr:rowOff>114300</xdr:rowOff>
        </xdr:from>
        <xdr:to>
          <xdr:col>2</xdr:col>
          <xdr:colOff>1508760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❌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Видалити відвідувача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1531620</xdr:colOff>
          <xdr:row>0</xdr:row>
          <xdr:rowOff>114300</xdr:rowOff>
        </xdr:from>
        <xdr:to>
          <xdr:col>4</xdr:col>
          <xdr:colOff>7620</xdr:colOff>
          <xdr:row>3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🔙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Відмінити видалення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220980</xdr:colOff>
          <xdr:row>0</xdr:row>
          <xdr:rowOff>114300</xdr:rowOff>
        </xdr:from>
        <xdr:to>
          <xdr:col>24</xdr:col>
          <xdr:colOff>0</xdr:colOff>
          <xdr:row>3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📅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дати занять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30480</xdr:colOff>
          <xdr:row>0</xdr:row>
          <xdr:rowOff>106680</xdr:rowOff>
        </xdr:from>
        <xdr:to>
          <xdr:col>25</xdr:col>
          <xdr:colOff>1173480</xdr:colOff>
          <xdr:row>3</xdr:row>
          <xdr:rowOff>106680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🆕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Згенерувати новий аркуш наступного місяця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0</xdr:row>
          <xdr:rowOff>114300</xdr:rowOff>
        </xdr:from>
        <xdr:to>
          <xdr:col>2</xdr:col>
          <xdr:colOff>716280</xdr:colOff>
          <xdr:row>3</xdr:row>
          <xdr:rowOff>114300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🔃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Оновити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0</xdr:row>
          <xdr:rowOff>114300</xdr:rowOff>
        </xdr:from>
        <xdr:to>
          <xdr:col>7</xdr:col>
          <xdr:colOff>60960</xdr:colOff>
          <xdr:row>3</xdr:row>
          <xdr:rowOff>114300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📇</a:t>
              </a:r>
            </a:p>
            <a:p>
              <a:pPr algn="ctr" rtl="0">
                <a:defRPr sz="1000"/>
              </a:pPr>
              <a:r>
                <a:rPr lang="en-001" sz="1000" b="0" i="0" u="none" strike="noStrike" baseline="0">
                  <a:solidFill>
                    <a:srgbClr val="000000"/>
                  </a:solidFill>
                  <a:latin typeface="Aptos Narrow"/>
                </a:rPr>
                <a:t>Виставити рамки друку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FC23-3E62-484C-8AB1-E8A1C0AC1DC4}">
  <sheetPr codeName="Worksheet_____5"/>
  <dimension ref="A1:AW101"/>
  <sheetViews>
    <sheetView tabSelected="1" zoomScaleNormal="100" workbookViewId="0">
      <pane ySplit="5" topLeftCell="A6" activePane="bottomLeft" state="frozen"/>
      <selection pane="bottomLeft" activeCell="AA3" sqref="AA3"/>
    </sheetView>
  </sheetViews>
  <sheetFormatPr defaultColWidth="14.44140625" defaultRowHeight="15" customHeight="1" x14ac:dyDescent="0.3"/>
  <cols>
    <col min="1" max="1" width="3.5546875" style="2" customWidth="1"/>
    <col min="2" max="2" width="24.77734375" style="7" customWidth="1"/>
    <col min="3" max="3" width="28.77734375" style="3" customWidth="1"/>
    <col min="4" max="11" width="4.5546875" style="4" customWidth="1"/>
    <col min="12" max="16" width="3.109375" style="4" hidden="1" customWidth="1"/>
    <col min="17" max="17" width="4.21875" style="4" hidden="1" customWidth="1"/>
    <col min="18" max="18" width="3" style="4" hidden="1" customWidth="1"/>
    <col min="19" max="19" width="3.21875" style="4" hidden="1" customWidth="1"/>
    <col min="20" max="20" width="3.44140625" style="4" hidden="1" customWidth="1"/>
    <col min="21" max="21" width="3" style="4" hidden="1" customWidth="1"/>
    <col min="22" max="22" width="4.33203125" style="4" hidden="1" customWidth="1"/>
    <col min="23" max="23" width="4.21875" style="4" hidden="1" customWidth="1"/>
    <col min="24" max="24" width="9.77734375" style="4" customWidth="1"/>
    <col min="25" max="25" width="4.21875" style="2" customWidth="1"/>
    <col min="26" max="26" width="24.44140625" style="2" customWidth="1"/>
    <col min="27" max="27" width="9.88671875" style="2" bestFit="1" customWidth="1"/>
    <col min="28" max="28" width="9.88671875" style="2" customWidth="1"/>
    <col min="29" max="29" width="8.77734375" style="2" customWidth="1"/>
    <col min="30" max="30" width="7.21875" style="2" bestFit="1" customWidth="1"/>
    <col min="31" max="31" width="7.109375" style="2" bestFit="1" customWidth="1"/>
    <col min="32" max="32" width="5.44140625" style="2" bestFit="1" customWidth="1"/>
    <col min="33" max="33" width="8.109375" style="2" bestFit="1" customWidth="1"/>
    <col min="34" max="34" width="5.21875" style="2" customWidth="1"/>
    <col min="35" max="35" width="7.6640625" style="2" bestFit="1" customWidth="1"/>
    <col min="36" max="36" width="6.88671875" style="2" customWidth="1"/>
    <col min="37" max="37" width="2.109375" style="2" customWidth="1"/>
    <col min="38" max="38" width="4.88671875" style="2" customWidth="1"/>
    <col min="39" max="39" width="7.21875" style="2" customWidth="1"/>
    <col min="40" max="16384" width="14.44140625" style="2"/>
  </cols>
  <sheetData>
    <row r="1" spans="2:49" ht="15" customHeight="1" x14ac:dyDescent="0.3">
      <c r="AA1" s="2" t="s">
        <v>20</v>
      </c>
      <c r="AB1" s="2" t="s">
        <v>8</v>
      </c>
      <c r="AC1" s="2" t="s">
        <v>6</v>
      </c>
      <c r="AD1" s="2" t="s">
        <v>7</v>
      </c>
      <c r="AE1" s="2" t="s">
        <v>5</v>
      </c>
      <c r="AF1" s="2" t="s">
        <v>22</v>
      </c>
      <c r="AG1" s="25" t="s">
        <v>19</v>
      </c>
    </row>
    <row r="2" spans="2:49" ht="15" customHeight="1" x14ac:dyDescent="0.3">
      <c r="B2" s="22"/>
      <c r="AA2" s="24" t="s">
        <v>21</v>
      </c>
      <c r="AB2" s="2" t="s">
        <v>26</v>
      </c>
      <c r="AC2" s="2" t="s">
        <v>14</v>
      </c>
      <c r="AD2" s="2" t="s">
        <v>15</v>
      </c>
      <c r="AE2" s="2" t="s">
        <v>30</v>
      </c>
      <c r="AF2" s="2" t="s">
        <v>23</v>
      </c>
      <c r="AG2" s="2" t="s">
        <v>18</v>
      </c>
    </row>
    <row r="3" spans="2:49" ht="18" customHeight="1" x14ac:dyDescent="0.3">
      <c r="B3" s="1" t="s">
        <v>27</v>
      </c>
    </row>
    <row r="4" spans="2:49" ht="18" customHeight="1" x14ac:dyDescent="0.3">
      <c r="B4" s="9" t="str">
        <f>UPPER(LEFT(AA5,1)) &amp; MID(AA5, 2, LEN(AA5))</f>
        <v>Листопад 2024</v>
      </c>
      <c r="AG4" s="21"/>
    </row>
    <row r="5" spans="2:49" ht="18" customHeight="1" x14ac:dyDescent="0.3">
      <c r="B5" s="11" t="s">
        <v>0</v>
      </c>
      <c r="C5" s="12" t="s">
        <v>1</v>
      </c>
      <c r="D5" s="13">
        <v>45600</v>
      </c>
      <c r="E5" s="13">
        <v>45602</v>
      </c>
      <c r="F5" s="13">
        <v>45607</v>
      </c>
      <c r="G5" s="13">
        <v>45609</v>
      </c>
      <c r="H5" s="13">
        <v>45614</v>
      </c>
      <c r="I5" s="13">
        <v>45616</v>
      </c>
      <c r="J5" s="13">
        <v>45621</v>
      </c>
      <c r="K5" s="13">
        <v>45623</v>
      </c>
      <c r="L5" s="13">
        <v>1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  <c r="S5" s="13">
        <v>1</v>
      </c>
      <c r="T5" s="13">
        <v>1</v>
      </c>
      <c r="U5" s="13">
        <v>1</v>
      </c>
      <c r="V5" s="13">
        <v>1</v>
      </c>
      <c r="W5" s="13">
        <v>1</v>
      </c>
      <c r="X5" s="14" t="s">
        <v>2</v>
      </c>
      <c r="AA5" s="23" t="str">
        <f>TEXT(DATE(LEFT(AA2,4),RIGHT(AA2,2),1), "[$-uk-UA]mmmm yyyy")</f>
        <v>листопад 2024</v>
      </c>
    </row>
    <row r="6" spans="2:49" ht="18" customHeight="1" x14ac:dyDescent="0.3">
      <c r="B6" s="6"/>
      <c r="C6" s="5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2:49" ht="18" customHeight="1" x14ac:dyDescent="0.3">
      <c r="B7" s="6"/>
      <c r="C7" s="5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2:49" ht="18" customHeight="1" x14ac:dyDescent="0.3">
      <c r="B8" s="6"/>
      <c r="C8" s="5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2:49" ht="18" customHeight="1" x14ac:dyDescent="0.3">
      <c r="B9" s="6"/>
      <c r="C9" s="5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AA9" s="7"/>
      <c r="AB9" s="3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</row>
    <row r="10" spans="2:49" ht="18" customHeight="1" x14ac:dyDescent="0.3">
      <c r="B10" s="6"/>
      <c r="C10" s="5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</row>
    <row r="11" spans="2:49" ht="18" customHeight="1" x14ac:dyDescent="0.3">
      <c r="B11" s="6"/>
      <c r="C11" s="5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</row>
    <row r="12" spans="2:49" ht="18" customHeight="1" x14ac:dyDescent="0.3">
      <c r="B12" s="6"/>
      <c r="C12" s="5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</row>
    <row r="13" spans="2:49" ht="18" customHeight="1" x14ac:dyDescent="0.3">
      <c r="B13" s="6"/>
      <c r="C13" s="5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</row>
    <row r="14" spans="2:49" ht="18" customHeight="1" x14ac:dyDescent="0.3">
      <c r="B14" s="6"/>
      <c r="C14" s="5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</row>
    <row r="15" spans="2:49" ht="18" customHeight="1" x14ac:dyDescent="0.3">
      <c r="B15" s="6"/>
      <c r="C15" s="5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</row>
    <row r="16" spans="2:49" ht="18" customHeight="1" x14ac:dyDescent="0.3">
      <c r="B16" s="6"/>
      <c r="C16" s="5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2:24" ht="18" customHeight="1" x14ac:dyDescent="0.3">
      <c r="B17" s="6"/>
      <c r="C17" s="5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</row>
    <row r="18" spans="2:24" ht="18" customHeight="1" x14ac:dyDescent="0.3">
      <c r="B18" s="6"/>
      <c r="C18" s="5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</row>
    <row r="19" spans="2:24" ht="18" customHeight="1" x14ac:dyDescent="0.3">
      <c r="B19" s="6"/>
      <c r="C19" s="5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</row>
    <row r="20" spans="2:24" ht="18" customHeight="1" x14ac:dyDescent="0.3">
      <c r="B20" s="6"/>
      <c r="C20" s="5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</row>
    <row r="21" spans="2:24" ht="18" customHeight="1" x14ac:dyDescent="0.3">
      <c r="B21" s="6"/>
      <c r="C21" s="5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</row>
    <row r="22" spans="2:24" ht="18" customHeight="1" x14ac:dyDescent="0.3">
      <c r="B22" s="6"/>
      <c r="C22" s="5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</row>
    <row r="23" spans="2:24" ht="18" customHeight="1" x14ac:dyDescent="0.3">
      <c r="B23" s="6"/>
      <c r="C23" s="5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</row>
    <row r="24" spans="2:24" ht="18" customHeight="1" x14ac:dyDescent="0.3">
      <c r="B24" s="6"/>
      <c r="C24" s="5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</row>
    <row r="25" spans="2:24" ht="18" customHeight="1" x14ac:dyDescent="0.3">
      <c r="B25" s="6"/>
      <c r="C25" s="5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</row>
    <row r="26" spans="2:24" ht="18" customHeight="1" x14ac:dyDescent="0.3">
      <c r="B26" s="6"/>
      <c r="C26" s="5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</row>
    <row r="27" spans="2:24" ht="18" customHeight="1" x14ac:dyDescent="0.3">
      <c r="B27" s="6"/>
      <c r="C27" s="5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</row>
    <row r="28" spans="2:24" ht="18" customHeight="1" x14ac:dyDescent="0.3">
      <c r="B28" s="6"/>
      <c r="C28" s="5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</row>
    <row r="29" spans="2:24" ht="18" customHeight="1" x14ac:dyDescent="0.3">
      <c r="B29" s="6"/>
      <c r="C29" s="5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2:24" ht="18" customHeight="1" x14ac:dyDescent="0.3">
      <c r="B30" s="6"/>
      <c r="C30" s="5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</row>
    <row r="31" spans="2:24" ht="18" customHeight="1" x14ac:dyDescent="0.3">
      <c r="B31" s="6"/>
      <c r="C31" s="5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</row>
    <row r="32" spans="2:24" ht="18" customHeight="1" x14ac:dyDescent="0.3">
      <c r="B32" s="6"/>
      <c r="C32" s="5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</row>
    <row r="33" spans="2:24" ht="18" customHeight="1" x14ac:dyDescent="0.3">
      <c r="B33" s="6"/>
      <c r="C33" s="5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</row>
    <row r="34" spans="2:24" ht="18" customHeight="1" x14ac:dyDescent="0.3">
      <c r="B34" s="6"/>
      <c r="C34" s="5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</row>
    <row r="35" spans="2:24" ht="18" customHeight="1" x14ac:dyDescent="0.3">
      <c r="B35" s="6"/>
      <c r="C35" s="26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</row>
    <row r="36" spans="2:24" ht="18" customHeight="1" x14ac:dyDescent="0.3">
      <c r="B36" s="6"/>
      <c r="C36" s="5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2:24" ht="18" customHeight="1" x14ac:dyDescent="0.3">
      <c r="B37" s="6"/>
      <c r="C37" s="5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2:24" ht="18" customHeight="1" x14ac:dyDescent="0.3">
      <c r="B38" s="6"/>
      <c r="C38" s="5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  <row r="39" spans="2:24" ht="18" customHeight="1" x14ac:dyDescent="0.3">
      <c r="B39" s="6"/>
      <c r="C39" s="5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</row>
    <row r="40" spans="2:24" ht="18" customHeight="1" x14ac:dyDescent="0.3">
      <c r="B40" s="6"/>
      <c r="C40" s="5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</row>
    <row r="41" spans="2:24" ht="18" customHeight="1" x14ac:dyDescent="0.3">
      <c r="B41" s="6"/>
      <c r="C41" s="5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</row>
    <row r="42" spans="2:24" ht="18" customHeight="1" x14ac:dyDescent="0.3">
      <c r="B42" s="6"/>
      <c r="C42" s="5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</row>
    <row r="43" spans="2:24" ht="18" customHeight="1" x14ac:dyDescent="0.3">
      <c r="B43" s="6"/>
      <c r="C43" s="5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</row>
    <row r="44" spans="2:24" ht="18" customHeight="1" x14ac:dyDescent="0.3">
      <c r="B44" s="6"/>
      <c r="C44" s="5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</row>
    <row r="45" spans="2:24" ht="18" customHeight="1" x14ac:dyDescent="0.3">
      <c r="B45" s="6"/>
      <c r="C45" s="5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</row>
    <row r="46" spans="2:24" ht="18" customHeight="1" x14ac:dyDescent="0.3">
      <c r="B46" s="6"/>
      <c r="C46" s="5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</row>
    <row r="47" spans="2:24" ht="18" customHeight="1" x14ac:dyDescent="0.3">
      <c r="B47" s="6"/>
      <c r="C47" s="5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</row>
    <row r="48" spans="2:24" ht="18" customHeight="1" x14ac:dyDescent="0.3">
      <c r="B48" s="6"/>
      <c r="C48" s="5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</row>
    <row r="49" spans="1:24" ht="18" customHeight="1" x14ac:dyDescent="0.3">
      <c r="B49" s="6"/>
      <c r="C49" s="5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</row>
    <row r="50" spans="1:24" ht="18" customHeight="1" x14ac:dyDescent="0.3">
      <c r="B50" s="6"/>
      <c r="C50" s="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</row>
    <row r="51" spans="1:24" ht="18" customHeight="1" x14ac:dyDescent="0.3">
      <c r="B51" s="6"/>
      <c r="C51" s="5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</row>
    <row r="52" spans="1:24" ht="18" customHeight="1" x14ac:dyDescent="0.3">
      <c r="B52" s="6"/>
      <c r="C52" s="5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</row>
    <row r="53" spans="1:24" ht="18" customHeight="1" x14ac:dyDescent="0.3">
      <c r="B53" s="6"/>
      <c r="C53" s="5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</row>
    <row r="54" spans="1:24" ht="18" customHeight="1" x14ac:dyDescent="0.3">
      <c r="B54" s="6"/>
      <c r="C54" s="5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</row>
    <row r="55" spans="1:24" ht="18" customHeight="1" x14ac:dyDescent="0.3">
      <c r="B55" s="6"/>
      <c r="C55" s="5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 ht="18" customHeight="1" x14ac:dyDescent="0.3">
      <c r="B56" s="6"/>
      <c r="C56" s="5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</row>
    <row r="57" spans="1:24" ht="18" customHeight="1" x14ac:dyDescent="0.3"/>
    <row r="58" spans="1:24" ht="18" customHeight="1" x14ac:dyDescent="0.3"/>
    <row r="59" spans="1:24" ht="18" customHeight="1" x14ac:dyDescent="0.3"/>
    <row r="60" spans="1:24" ht="18" customHeight="1" x14ac:dyDescent="0.3">
      <c r="A60" s="25"/>
    </row>
    <row r="61" spans="1:24" ht="18" customHeight="1" x14ac:dyDescent="0.3">
      <c r="A61" s="25"/>
    </row>
    <row r="62" spans="1:24" ht="18" customHeight="1" x14ac:dyDescent="0.3">
      <c r="A62" s="25"/>
    </row>
    <row r="63" spans="1:24" ht="18" customHeight="1" x14ac:dyDescent="0.3">
      <c r="A63" s="25"/>
    </row>
    <row r="64" spans="1:24" ht="18" customHeight="1" x14ac:dyDescent="0.3">
      <c r="A64" s="25"/>
    </row>
    <row r="65" spans="1:1" ht="18" customHeight="1" x14ac:dyDescent="0.3">
      <c r="A65" s="25"/>
    </row>
    <row r="66" spans="1:1" ht="18" customHeight="1" x14ac:dyDescent="0.3">
      <c r="A66" s="25"/>
    </row>
    <row r="67" spans="1:1" ht="18" customHeight="1" x14ac:dyDescent="0.3">
      <c r="A67" s="25"/>
    </row>
    <row r="68" spans="1:1" ht="18" customHeight="1" x14ac:dyDescent="0.3">
      <c r="A68" s="25"/>
    </row>
    <row r="69" spans="1:1" ht="18" customHeight="1" x14ac:dyDescent="0.3">
      <c r="A69" s="25"/>
    </row>
    <row r="70" spans="1:1" ht="18" customHeight="1" x14ac:dyDescent="0.3">
      <c r="A70" s="25"/>
    </row>
    <row r="71" spans="1:1" ht="18" customHeight="1" x14ac:dyDescent="0.3">
      <c r="A71" s="25"/>
    </row>
    <row r="72" spans="1:1" ht="18" customHeight="1" x14ac:dyDescent="0.3">
      <c r="A72" s="25"/>
    </row>
    <row r="73" spans="1:1" ht="18" customHeight="1" x14ac:dyDescent="0.3">
      <c r="A73" s="25"/>
    </row>
    <row r="74" spans="1:1" ht="18" customHeight="1" x14ac:dyDescent="0.3">
      <c r="A74" s="25"/>
    </row>
    <row r="75" spans="1:1" ht="18" customHeight="1" x14ac:dyDescent="0.3">
      <c r="A75" s="25"/>
    </row>
    <row r="76" spans="1:1" ht="18" customHeight="1" x14ac:dyDescent="0.3">
      <c r="A76" s="25"/>
    </row>
    <row r="77" spans="1:1" ht="18" customHeight="1" x14ac:dyDescent="0.3">
      <c r="A77" s="25"/>
    </row>
    <row r="78" spans="1:1" ht="18" customHeight="1" x14ac:dyDescent="0.3">
      <c r="A78" s="25"/>
    </row>
    <row r="79" spans="1:1" ht="18" customHeight="1" x14ac:dyDescent="0.3">
      <c r="A79" s="25"/>
    </row>
    <row r="80" spans="1:1" ht="18" customHeight="1" x14ac:dyDescent="0.3">
      <c r="A80" s="25"/>
    </row>
    <row r="81" spans="1:1" ht="18" customHeight="1" x14ac:dyDescent="0.3">
      <c r="A81" s="25"/>
    </row>
    <row r="82" spans="1:1" ht="18" customHeight="1" x14ac:dyDescent="0.3">
      <c r="A82" s="25"/>
    </row>
    <row r="83" spans="1:1" ht="18" customHeight="1" x14ac:dyDescent="0.3">
      <c r="A83" s="25"/>
    </row>
    <row r="84" spans="1:1" ht="18" customHeight="1" x14ac:dyDescent="0.3">
      <c r="A84" s="25"/>
    </row>
    <row r="85" spans="1:1" ht="18" customHeight="1" x14ac:dyDescent="0.3">
      <c r="A85" s="25"/>
    </row>
    <row r="86" spans="1:1" ht="18" customHeight="1" x14ac:dyDescent="0.3">
      <c r="A86" s="25"/>
    </row>
    <row r="87" spans="1:1" ht="18" customHeight="1" x14ac:dyDescent="0.3">
      <c r="A87" s="25"/>
    </row>
    <row r="88" spans="1:1" ht="18" customHeight="1" x14ac:dyDescent="0.3">
      <c r="A88" s="25"/>
    </row>
    <row r="89" spans="1:1" ht="18" customHeight="1" x14ac:dyDescent="0.3">
      <c r="A89" s="25"/>
    </row>
    <row r="90" spans="1:1" ht="18" customHeight="1" x14ac:dyDescent="0.3">
      <c r="A90" s="25"/>
    </row>
    <row r="91" spans="1:1" ht="18" customHeight="1" x14ac:dyDescent="0.3">
      <c r="A91" s="25"/>
    </row>
    <row r="92" spans="1:1" ht="18.600000000000001" customHeight="1" x14ac:dyDescent="0.3">
      <c r="A92" s="25"/>
    </row>
    <row r="93" spans="1:1" ht="15" customHeight="1" x14ac:dyDescent="0.3">
      <c r="A93" s="25"/>
    </row>
    <row r="94" spans="1:1" ht="15" customHeight="1" x14ac:dyDescent="0.3">
      <c r="A94" s="25"/>
    </row>
    <row r="95" spans="1:1" ht="15" customHeight="1" x14ac:dyDescent="0.3">
      <c r="A95" s="25"/>
    </row>
    <row r="96" spans="1:1" ht="15" customHeight="1" x14ac:dyDescent="0.3">
      <c r="A96" s="25"/>
    </row>
    <row r="97" spans="1:1" ht="15" customHeight="1" x14ac:dyDescent="0.3">
      <c r="A97" s="25"/>
    </row>
    <row r="98" spans="1:1" ht="15" customHeight="1" x14ac:dyDescent="0.3">
      <c r="A98" s="25"/>
    </row>
    <row r="99" spans="1:1" ht="15" customHeight="1" x14ac:dyDescent="0.3">
      <c r="A99" s="25"/>
    </row>
    <row r="100" spans="1:1" ht="15" customHeight="1" x14ac:dyDescent="0.3">
      <c r="A100" s="25"/>
    </row>
    <row r="101" spans="1:1" ht="15" customHeight="1" x14ac:dyDescent="0.3">
      <c r="A101" s="25"/>
    </row>
  </sheetData>
  <autoFilter ref="B5:B91" xr:uid="{00000000-0001-0000-0000-000000000000}">
    <sortState xmlns:xlrd2="http://schemas.microsoft.com/office/spreadsheetml/2017/richdata2" ref="B6:B91">
      <sortCondition ref="B5:B36"/>
    </sortState>
  </autoFilter>
  <sortState xmlns:xlrd2="http://schemas.microsoft.com/office/spreadsheetml/2017/richdata2" ref="B6:X56">
    <sortCondition ref="B5"/>
  </sortState>
  <printOptions horizontalCentered="1"/>
  <pageMargins left="0.19685039370078741" right="0.19685039370078741" top="0.19685039370078741" bottom="0.19685039370078741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el_Row">
                <anchor>
                  <from>
                    <xdr:col>2</xdr:col>
                    <xdr:colOff>746760</xdr:colOff>
                    <xdr:row>0</xdr:row>
                    <xdr:rowOff>114300</xdr:rowOff>
                  </from>
                  <to>
                    <xdr:col>2</xdr:col>
                    <xdr:colOff>1508760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_Undo">
                <anchor>
                  <from>
                    <xdr:col>2</xdr:col>
                    <xdr:colOff>1531620</xdr:colOff>
                    <xdr:row>0</xdr:row>
                    <xdr:rowOff>114300</xdr:rowOff>
                  </from>
                  <to>
                    <xdr:col>4</xdr:col>
                    <xdr:colOff>7620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ates_Fill">
                <anchor>
                  <from>
                    <xdr:col>10</xdr:col>
                    <xdr:colOff>220980</xdr:colOff>
                    <xdr:row>0</xdr:row>
                    <xdr:rowOff>114300</xdr:rowOff>
                  </from>
                  <to>
                    <xdr:col>24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Sheet_CreateCopy">
                <anchor>
                  <from>
                    <xdr:col>24</xdr:col>
                    <xdr:colOff>30480</xdr:colOff>
                    <xdr:row>0</xdr:row>
                    <xdr:rowOff>106680</xdr:rowOff>
                  </from>
                  <to>
                    <xdr:col>25</xdr:col>
                    <xdr:colOff>1173480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Sort_Ascending">
                <anchor>
                  <from>
                    <xdr:col>1</xdr:col>
                    <xdr:colOff>1562100</xdr:colOff>
                    <xdr:row>0</xdr:row>
                    <xdr:rowOff>114300</xdr:rowOff>
                  </from>
                  <to>
                    <xdr:col>2</xdr:col>
                    <xdr:colOff>716280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Set_Print_area">
                <anchor>
                  <from>
                    <xdr:col>4</xdr:col>
                    <xdr:colOff>106680</xdr:colOff>
                    <xdr:row>0</xdr:row>
                    <xdr:rowOff>114300</xdr:rowOff>
                  </from>
                  <to>
                    <xdr:col>7</xdr:col>
                    <xdr:colOff>60960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D438-974D-40CA-B1F4-EAC879A5FE7C}">
  <sheetPr codeName="Worksheet_____1"/>
  <dimension ref="A1:E24"/>
  <sheetViews>
    <sheetView zoomScaleNormal="100" workbookViewId="0"/>
  </sheetViews>
  <sheetFormatPr defaultRowHeight="15.6" x14ac:dyDescent="0.3"/>
  <cols>
    <col min="1" max="1" width="43.5546875" style="2" customWidth="1"/>
    <col min="2" max="2" width="55.21875" style="30" customWidth="1"/>
    <col min="3" max="3" width="2.21875" style="30" customWidth="1"/>
    <col min="4" max="4" width="3.21875" style="28" customWidth="1"/>
    <col min="5" max="5" width="59.6640625" style="2" customWidth="1"/>
    <col min="6" max="16384" width="8.88671875" style="2"/>
  </cols>
  <sheetData>
    <row r="1" spans="1:5" ht="48" customHeight="1" x14ac:dyDescent="0.3">
      <c r="A1" s="2" t="s">
        <v>41</v>
      </c>
      <c r="B1" s="32" t="s">
        <v>38</v>
      </c>
      <c r="C1" s="33"/>
      <c r="D1" s="45" t="s">
        <v>32</v>
      </c>
      <c r="E1" s="45"/>
    </row>
    <row r="2" spans="1:5" ht="48" customHeight="1" x14ac:dyDescent="0.35">
      <c r="A2" s="43" t="str">
        <f>HYPERLINK("https://github.com/boredwz", "https://github.com/boredwz")</f>
        <v>https://github.com/boredwz</v>
      </c>
      <c r="B2" s="34" t="s">
        <v>34</v>
      </c>
      <c r="C2" s="33"/>
      <c r="D2" s="35" t="str">
        <f>"1."</f>
        <v>1.</v>
      </c>
      <c r="E2" s="46" t="e" vm="1">
        <v>#VALUE!</v>
      </c>
    </row>
    <row r="3" spans="1:5" ht="30" customHeight="1" x14ac:dyDescent="0.35">
      <c r="B3" s="36" t="s">
        <v>28</v>
      </c>
      <c r="C3" s="37"/>
      <c r="D3" s="35"/>
      <c r="E3" s="46"/>
    </row>
    <row r="4" spans="1:5" ht="30" customHeight="1" x14ac:dyDescent="0.35">
      <c r="B4" s="36" t="s">
        <v>29</v>
      </c>
      <c r="C4" s="37"/>
      <c r="D4" s="35"/>
      <c r="E4" s="46"/>
    </row>
    <row r="5" spans="1:5" ht="24" customHeight="1" x14ac:dyDescent="0.3">
      <c r="B5" s="38" t="s">
        <v>35</v>
      </c>
      <c r="C5" s="39"/>
      <c r="D5" s="35"/>
      <c r="E5" s="46"/>
    </row>
    <row r="6" spans="1:5" ht="48" customHeight="1" x14ac:dyDescent="0.3">
      <c r="B6" s="38" t="s">
        <v>36</v>
      </c>
      <c r="C6" s="39"/>
      <c r="D6" s="35" t="str">
        <f>"2."</f>
        <v>2.</v>
      </c>
      <c r="E6" s="46" t="e" vm="2">
        <v>#VALUE!</v>
      </c>
    </row>
    <row r="7" spans="1:5" ht="24" customHeight="1" x14ac:dyDescent="0.3">
      <c r="B7" s="40" t="str">
        <f>HYPERLINK("https://raw.githubusercontent.com/boredwz/win_scripts/refs/heads/master/excel/xlsm_list_table.vba", "{xlsm_list_table.vba} raw content on GitHub")</f>
        <v>{xlsm_list_table.vba} raw content on GitHub</v>
      </c>
      <c r="C7" s="41"/>
      <c r="D7" s="35"/>
      <c r="E7" s="46"/>
    </row>
    <row r="8" spans="1:5" ht="24" customHeight="1" x14ac:dyDescent="0.3">
      <c r="B8" s="38" t="s">
        <v>37</v>
      </c>
      <c r="C8" s="39"/>
      <c r="D8" s="35"/>
      <c r="E8" s="46"/>
    </row>
    <row r="9" spans="1:5" ht="30" customHeight="1" x14ac:dyDescent="0.35">
      <c r="B9" s="36" t="s">
        <v>31</v>
      </c>
      <c r="C9" s="37"/>
      <c r="D9" s="35"/>
      <c r="E9" s="46"/>
    </row>
    <row r="10" spans="1:5" ht="18" x14ac:dyDescent="0.3">
      <c r="B10" s="37"/>
      <c r="C10" s="37"/>
      <c r="D10" s="35"/>
      <c r="E10" s="42"/>
    </row>
    <row r="11" spans="1:5" ht="30" customHeight="1" x14ac:dyDescent="0.35">
      <c r="B11" s="34" t="s">
        <v>33</v>
      </c>
      <c r="C11" s="37"/>
      <c r="D11" s="35" t="str">
        <f>"3."</f>
        <v>3.</v>
      </c>
      <c r="E11" s="46" t="e" vm="3">
        <v>#VALUE!</v>
      </c>
    </row>
    <row r="12" spans="1:5" ht="45" customHeight="1" x14ac:dyDescent="0.3">
      <c r="B12" s="44" t="s">
        <v>40</v>
      </c>
      <c r="C12" s="39"/>
      <c r="D12" s="35"/>
      <c r="E12" s="46"/>
    </row>
    <row r="13" spans="1:5" ht="31.2" x14ac:dyDescent="0.3">
      <c r="B13" s="44" t="s">
        <v>39</v>
      </c>
      <c r="C13" s="39"/>
      <c r="D13" s="35"/>
      <c r="E13" s="46"/>
    </row>
    <row r="14" spans="1:5" x14ac:dyDescent="0.3">
      <c r="D14" s="29"/>
      <c r="E14" s="31"/>
    </row>
    <row r="15" spans="1:5" x14ac:dyDescent="0.3">
      <c r="D15" s="29"/>
      <c r="E15" s="31"/>
    </row>
    <row r="16" spans="1:5" x14ac:dyDescent="0.3">
      <c r="D16" s="29"/>
      <c r="E16" s="31"/>
    </row>
    <row r="17" spans="4:5" x14ac:dyDescent="0.3">
      <c r="D17" s="29"/>
      <c r="E17" s="31"/>
    </row>
    <row r="18" spans="4:5" x14ac:dyDescent="0.3">
      <c r="D18" s="29"/>
      <c r="E18" s="31"/>
    </row>
    <row r="19" spans="4:5" x14ac:dyDescent="0.3">
      <c r="D19" s="29"/>
      <c r="E19" s="31"/>
    </row>
    <row r="20" spans="4:5" x14ac:dyDescent="0.3">
      <c r="D20" s="29"/>
      <c r="E20" s="31"/>
    </row>
    <row r="21" spans="4:5" x14ac:dyDescent="0.3">
      <c r="D21" s="29"/>
      <c r="E21" s="31"/>
    </row>
    <row r="22" spans="4:5" x14ac:dyDescent="0.3">
      <c r="D22" s="29"/>
      <c r="E22" s="31"/>
    </row>
    <row r="23" spans="4:5" x14ac:dyDescent="0.3">
      <c r="D23" s="29"/>
      <c r="E23" s="31"/>
    </row>
    <row r="24" spans="4:5" x14ac:dyDescent="0.3">
      <c r="D24" s="29"/>
      <c r="E24" s="31"/>
    </row>
  </sheetData>
  <mergeCells count="4">
    <mergeCell ref="D1:E1"/>
    <mergeCell ref="E2:E5"/>
    <mergeCell ref="E6:E9"/>
    <mergeCell ref="E11:E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833D-1E8B-47BF-B6F4-987718FB732C}">
  <sheetPr codeName="Worksheet_____2"/>
  <dimension ref="A1:AQ69"/>
  <sheetViews>
    <sheetView zoomScaleNormal="100" workbookViewId="0"/>
  </sheetViews>
  <sheetFormatPr defaultColWidth="14.44140625" defaultRowHeight="15" customHeight="1" x14ac:dyDescent="0.3"/>
  <cols>
    <col min="1" max="1" width="3.109375" style="2" customWidth="1"/>
    <col min="2" max="2" width="4.21875" style="7" customWidth="1"/>
    <col min="3" max="3" width="6.5546875" style="3" bestFit="1" customWidth="1"/>
    <col min="4" max="4" width="6.109375" style="2" customWidth="1"/>
    <col min="5" max="5" width="5.44140625" style="2" customWidth="1"/>
    <col min="6" max="6" width="5" style="2" customWidth="1"/>
    <col min="7" max="7" width="6.5546875" style="2" customWidth="1"/>
    <col min="8" max="8" width="7.6640625" style="2" bestFit="1" customWidth="1"/>
    <col min="9" max="9" width="6.109375" style="2" bestFit="1" customWidth="1"/>
    <col min="10" max="10" width="5.33203125" style="2" customWidth="1"/>
    <col min="11" max="11" width="4.33203125" style="2" bestFit="1" customWidth="1"/>
    <col min="12" max="12" width="6.5546875" style="2" bestFit="1" customWidth="1"/>
    <col min="13" max="13" width="4.77734375" style="2" customWidth="1"/>
    <col min="14" max="14" width="4.88671875" style="2" customWidth="1"/>
    <col min="15" max="15" width="9.6640625" style="2" bestFit="1" customWidth="1"/>
    <col min="16" max="16" width="7.5546875" style="2" customWidth="1"/>
    <col min="17" max="17" width="8.21875" style="2" customWidth="1"/>
    <col min="18" max="18" width="7.77734375" style="2" customWidth="1"/>
    <col min="19" max="19" width="6.33203125" style="2" customWidth="1"/>
    <col min="20" max="20" width="1.88671875" style="2" customWidth="1"/>
    <col min="21" max="21" width="2.109375" style="2" customWidth="1"/>
    <col min="22" max="22" width="3.88671875" style="2" bestFit="1" customWidth="1"/>
    <col min="23" max="24" width="3.88671875" style="2" customWidth="1"/>
    <col min="25" max="25" width="6.5546875" style="2" bestFit="1" customWidth="1"/>
    <col min="26" max="26" width="3.109375" style="2" customWidth="1"/>
    <col min="27" max="27" width="3.88671875" style="2" customWidth="1"/>
    <col min="28" max="29" width="6.5546875" style="2" bestFit="1" customWidth="1"/>
    <col min="30" max="30" width="6.5546875" style="2" customWidth="1"/>
    <col min="31" max="31" width="6.77734375" style="2" customWidth="1"/>
    <col min="32" max="32" width="4.33203125" style="2" bestFit="1" customWidth="1"/>
    <col min="33" max="33" width="7.6640625" style="2" bestFit="1" customWidth="1"/>
    <col min="34" max="34" width="6.5546875" style="2" bestFit="1" customWidth="1"/>
    <col min="35" max="35" width="6.109375" style="2" bestFit="1" customWidth="1"/>
    <col min="36" max="36" width="9.6640625" style="2" bestFit="1" customWidth="1"/>
    <col min="37" max="38" width="6.5546875" style="2" bestFit="1" customWidth="1"/>
    <col min="39" max="39" width="5.44140625" style="2" bestFit="1" customWidth="1"/>
    <col min="40" max="40" width="6.5546875" style="2" bestFit="1" customWidth="1"/>
    <col min="41" max="41" width="3.77734375" style="2" customWidth="1"/>
    <col min="42" max="16384" width="14.44140625" style="2"/>
  </cols>
  <sheetData>
    <row r="1" spans="27:35" ht="16.8" customHeight="1" x14ac:dyDescent="0.3">
      <c r="AB1" s="2" t="s">
        <v>10</v>
      </c>
      <c r="AC1" s="2" t="s">
        <v>11</v>
      </c>
      <c r="AD1" s="2" t="s">
        <v>24</v>
      </c>
      <c r="AE1" s="2" t="s">
        <v>25</v>
      </c>
      <c r="AG1" s="2" t="s">
        <v>3</v>
      </c>
      <c r="AH1" s="2" t="s">
        <v>16</v>
      </c>
      <c r="AI1" s="2" t="s">
        <v>17</v>
      </c>
    </row>
    <row r="2" spans="27:35" ht="16.8" customHeight="1" x14ac:dyDescent="0.3">
      <c r="AA2" s="2">
        <v>1</v>
      </c>
      <c r="AB2" s="2">
        <v>24</v>
      </c>
      <c r="AC2" s="2">
        <v>28</v>
      </c>
      <c r="AD2" s="2">
        <v>9</v>
      </c>
      <c r="AE2" s="2">
        <v>4.4400000000000004</v>
      </c>
      <c r="AG2" s="2">
        <f t="shared" ref="AG2:AG21" si="0">AB2+AC2+(AE2*AA2)+AD2</f>
        <v>65.44</v>
      </c>
      <c r="AH2" s="2">
        <v>65.44</v>
      </c>
      <c r="AI2" s="2">
        <f t="shared" ref="AI2:AI7" si="1">AG2-AH2</f>
        <v>0</v>
      </c>
    </row>
    <row r="3" spans="27:35" ht="16.8" customHeight="1" x14ac:dyDescent="0.3">
      <c r="AA3" s="2">
        <v>2</v>
      </c>
      <c r="AB3" s="2">
        <v>24</v>
      </c>
      <c r="AC3" s="2">
        <v>28</v>
      </c>
      <c r="AD3" s="2">
        <v>9</v>
      </c>
      <c r="AE3" s="2">
        <v>4.4400000000000004</v>
      </c>
      <c r="AG3" s="2">
        <f t="shared" si="0"/>
        <v>69.88</v>
      </c>
      <c r="AH3" s="2">
        <v>69.88</v>
      </c>
      <c r="AI3" s="2">
        <f t="shared" si="1"/>
        <v>0</v>
      </c>
    </row>
    <row r="4" spans="27:35" ht="16.8" customHeight="1" x14ac:dyDescent="0.3">
      <c r="AA4" s="2">
        <v>3</v>
      </c>
      <c r="AB4" s="2">
        <v>24</v>
      </c>
      <c r="AC4" s="2">
        <v>28</v>
      </c>
      <c r="AD4" s="2">
        <v>9</v>
      </c>
      <c r="AE4" s="2">
        <v>4.4400000000000004</v>
      </c>
      <c r="AG4" s="2">
        <f t="shared" si="0"/>
        <v>74.319999999999993</v>
      </c>
      <c r="AH4" s="2">
        <v>74.319999999999993</v>
      </c>
      <c r="AI4" s="2">
        <f t="shared" si="1"/>
        <v>0</v>
      </c>
    </row>
    <row r="5" spans="27:35" ht="16.8" customHeight="1" x14ac:dyDescent="0.3">
      <c r="AA5" s="2">
        <v>4</v>
      </c>
      <c r="AB5" s="2">
        <v>24</v>
      </c>
      <c r="AC5" s="2">
        <v>28</v>
      </c>
      <c r="AD5" s="2">
        <v>9</v>
      </c>
      <c r="AE5" s="2">
        <v>4.4400000000000004</v>
      </c>
      <c r="AG5" s="2">
        <f t="shared" si="0"/>
        <v>78.760000000000005</v>
      </c>
      <c r="AH5" s="2">
        <v>78.760000000000005</v>
      </c>
      <c r="AI5" s="2">
        <f t="shared" si="1"/>
        <v>0</v>
      </c>
    </row>
    <row r="6" spans="27:35" ht="16.8" customHeight="1" x14ac:dyDescent="0.3">
      <c r="AA6" s="2">
        <v>5</v>
      </c>
      <c r="AB6" s="2">
        <v>24</v>
      </c>
      <c r="AC6" s="2">
        <v>28</v>
      </c>
      <c r="AD6" s="2">
        <v>9</v>
      </c>
      <c r="AE6" s="2">
        <v>4.4400000000000004</v>
      </c>
      <c r="AG6" s="2">
        <f t="shared" si="0"/>
        <v>83.2</v>
      </c>
      <c r="AH6" s="2">
        <v>83.2</v>
      </c>
      <c r="AI6" s="2">
        <f t="shared" si="1"/>
        <v>0</v>
      </c>
    </row>
    <row r="7" spans="27:35" ht="16.8" customHeight="1" x14ac:dyDescent="0.3">
      <c r="AA7" s="2">
        <v>6</v>
      </c>
      <c r="AB7" s="2">
        <v>24</v>
      </c>
      <c r="AC7" s="2">
        <v>28</v>
      </c>
      <c r="AD7" s="2">
        <v>9</v>
      </c>
      <c r="AE7" s="2">
        <v>4.4400000000000004</v>
      </c>
      <c r="AG7" s="2">
        <f t="shared" si="0"/>
        <v>87.64</v>
      </c>
      <c r="AH7" s="2">
        <v>87.64</v>
      </c>
      <c r="AI7" s="2">
        <f t="shared" si="1"/>
        <v>0</v>
      </c>
    </row>
    <row r="8" spans="27:35" ht="16.8" customHeight="1" x14ac:dyDescent="0.3">
      <c r="AA8" s="2">
        <v>7</v>
      </c>
      <c r="AB8" s="2">
        <v>24</v>
      </c>
      <c r="AC8" s="2">
        <v>28</v>
      </c>
      <c r="AD8" s="2">
        <v>9</v>
      </c>
      <c r="AE8" s="2">
        <v>4.4400000000000004</v>
      </c>
      <c r="AG8" s="2">
        <f t="shared" si="0"/>
        <v>92.08</v>
      </c>
      <c r="AH8" s="2">
        <v>92.2</v>
      </c>
      <c r="AI8" s="2">
        <f>AG8-AH8</f>
        <v>-0.12000000000000455</v>
      </c>
    </row>
    <row r="9" spans="27:35" ht="16.2" customHeight="1" x14ac:dyDescent="0.3">
      <c r="AA9" s="2">
        <v>8</v>
      </c>
      <c r="AB9" s="2">
        <v>24</v>
      </c>
      <c r="AC9" s="2">
        <v>28</v>
      </c>
      <c r="AD9" s="2">
        <v>9</v>
      </c>
      <c r="AE9" s="2">
        <v>3.78</v>
      </c>
      <c r="AG9" s="2">
        <f t="shared" si="0"/>
        <v>91.24</v>
      </c>
      <c r="AH9" s="2">
        <v>91.68</v>
      </c>
      <c r="AI9" s="2">
        <f t="shared" ref="AI9:AI21" si="2">AG9-AH9</f>
        <v>-0.44000000000001194</v>
      </c>
    </row>
    <row r="10" spans="27:35" ht="16.2" customHeight="1" x14ac:dyDescent="0.3">
      <c r="AA10" s="2">
        <v>9</v>
      </c>
      <c r="AB10" s="2">
        <v>23</v>
      </c>
      <c r="AC10" s="2">
        <v>28</v>
      </c>
      <c r="AD10" s="2">
        <v>8.89</v>
      </c>
      <c r="AE10" s="2">
        <v>3.44</v>
      </c>
      <c r="AG10" s="2">
        <f t="shared" si="0"/>
        <v>90.850000000000009</v>
      </c>
      <c r="AH10" s="2">
        <v>90.85</v>
      </c>
      <c r="AI10" s="2">
        <f t="shared" si="2"/>
        <v>0</v>
      </c>
    </row>
    <row r="11" spans="27:35" ht="16.2" customHeight="1" x14ac:dyDescent="0.3">
      <c r="AA11" s="2">
        <v>10</v>
      </c>
      <c r="AB11" s="2">
        <v>23</v>
      </c>
      <c r="AC11" s="2">
        <v>28</v>
      </c>
      <c r="AD11" s="2">
        <v>8.89</v>
      </c>
      <c r="AE11" s="2">
        <v>3</v>
      </c>
      <c r="AG11" s="2">
        <f t="shared" si="0"/>
        <v>89.89</v>
      </c>
      <c r="AH11" s="2">
        <v>90.11</v>
      </c>
      <c r="AI11" s="2">
        <f t="shared" si="2"/>
        <v>-0.21999999999999886</v>
      </c>
    </row>
    <row r="12" spans="27:35" ht="16.2" customHeight="1" x14ac:dyDescent="0.3">
      <c r="AA12" s="2">
        <v>11</v>
      </c>
      <c r="AB12" s="2">
        <v>22</v>
      </c>
      <c r="AC12" s="2">
        <v>28</v>
      </c>
      <c r="AD12" s="2">
        <v>8.7799999999999994</v>
      </c>
      <c r="AE12" s="2">
        <v>2.78</v>
      </c>
      <c r="AG12" s="2">
        <f t="shared" si="0"/>
        <v>89.36</v>
      </c>
      <c r="AH12" s="2">
        <v>89.36</v>
      </c>
      <c r="AI12" s="2">
        <f t="shared" si="2"/>
        <v>0</v>
      </c>
    </row>
    <row r="13" spans="27:35" ht="16.2" customHeight="1" x14ac:dyDescent="0.3">
      <c r="AA13" s="2">
        <v>12</v>
      </c>
      <c r="AB13" s="2">
        <v>22</v>
      </c>
      <c r="AC13" s="2">
        <v>27</v>
      </c>
      <c r="AD13" s="2">
        <v>8.7799999999999994</v>
      </c>
      <c r="AE13" s="2">
        <v>2.56</v>
      </c>
      <c r="AG13" s="2">
        <f t="shared" si="0"/>
        <v>88.5</v>
      </c>
      <c r="AH13" s="2">
        <v>88.61</v>
      </c>
      <c r="AI13" s="2">
        <f>AG13-AH13</f>
        <v>-0.10999999999999943</v>
      </c>
    </row>
    <row r="14" spans="27:35" ht="16.2" customHeight="1" x14ac:dyDescent="0.3">
      <c r="AA14" s="2">
        <v>13</v>
      </c>
      <c r="AB14" s="2">
        <v>22</v>
      </c>
      <c r="AC14" s="2">
        <v>27</v>
      </c>
      <c r="AD14" s="2">
        <v>8.44</v>
      </c>
      <c r="AE14" s="2">
        <v>2.33</v>
      </c>
      <c r="AG14" s="2">
        <f t="shared" si="0"/>
        <v>87.72999999999999</v>
      </c>
      <c r="AH14" s="2">
        <v>87.740000000000009</v>
      </c>
      <c r="AI14" s="2">
        <f t="shared" si="2"/>
        <v>-1.0000000000019327E-2</v>
      </c>
    </row>
    <row r="15" spans="27:35" ht="16.2" customHeight="1" x14ac:dyDescent="0.3">
      <c r="AA15" s="2">
        <v>14</v>
      </c>
      <c r="AB15" s="2">
        <v>21.44</v>
      </c>
      <c r="AC15" s="2">
        <v>26</v>
      </c>
      <c r="AD15" s="2">
        <v>8.44</v>
      </c>
      <c r="AE15" s="2">
        <v>2.2200000000000002</v>
      </c>
      <c r="AG15" s="2">
        <f t="shared" si="0"/>
        <v>86.96</v>
      </c>
      <c r="AH15" s="2">
        <v>86.97</v>
      </c>
      <c r="AI15" s="2">
        <f t="shared" si="2"/>
        <v>-1.0000000000005116E-2</v>
      </c>
    </row>
    <row r="16" spans="27:35" ht="16.2" customHeight="1" x14ac:dyDescent="0.3">
      <c r="AA16" s="2">
        <v>15</v>
      </c>
      <c r="AB16" s="2">
        <v>21.44</v>
      </c>
      <c r="AC16" s="2">
        <v>26</v>
      </c>
      <c r="AD16" s="2">
        <v>8.44</v>
      </c>
      <c r="AE16" s="2">
        <v>2</v>
      </c>
      <c r="AG16" s="2">
        <f t="shared" si="0"/>
        <v>85.88</v>
      </c>
      <c r="AH16" s="2">
        <v>86.21</v>
      </c>
      <c r="AI16" s="2">
        <f t="shared" si="2"/>
        <v>-0.32999999999999829</v>
      </c>
    </row>
    <row r="17" spans="1:35" ht="16.2" customHeight="1" x14ac:dyDescent="0.3">
      <c r="AA17" s="2">
        <v>16</v>
      </c>
      <c r="AB17" s="2">
        <v>21.44</v>
      </c>
      <c r="AC17" s="2">
        <v>26</v>
      </c>
      <c r="AD17" s="2">
        <v>7.78</v>
      </c>
      <c r="AE17" s="2">
        <v>1.89</v>
      </c>
      <c r="AG17" s="2">
        <f t="shared" si="0"/>
        <v>85.46</v>
      </c>
      <c r="AH17" s="2">
        <v>85.46</v>
      </c>
      <c r="AI17" s="2">
        <f t="shared" si="2"/>
        <v>0</v>
      </c>
    </row>
    <row r="18" spans="1:35" ht="16.2" customHeight="1" x14ac:dyDescent="0.3">
      <c r="AA18" s="2">
        <v>17</v>
      </c>
      <c r="AB18" s="2">
        <v>21.44</v>
      </c>
      <c r="AC18" s="2">
        <v>24.33</v>
      </c>
      <c r="AD18" s="2">
        <v>6.78</v>
      </c>
      <c r="AE18" s="2">
        <v>1.89</v>
      </c>
      <c r="AG18" s="2">
        <f t="shared" si="0"/>
        <v>84.679999999999993</v>
      </c>
      <c r="AH18" s="2">
        <v>84.679999999999993</v>
      </c>
      <c r="AI18" s="2">
        <f t="shared" si="2"/>
        <v>0</v>
      </c>
    </row>
    <row r="19" spans="1:35" ht="16.2" customHeight="1" x14ac:dyDescent="0.3">
      <c r="AA19" s="2">
        <v>18</v>
      </c>
      <c r="AB19" s="2">
        <v>20.329999999999998</v>
      </c>
      <c r="AC19" s="2">
        <v>23.67</v>
      </c>
      <c r="AD19" s="2">
        <v>5.89</v>
      </c>
      <c r="AE19" s="2">
        <v>1.89</v>
      </c>
      <c r="AG19" s="2">
        <f t="shared" si="0"/>
        <v>83.91</v>
      </c>
      <c r="AH19" s="2">
        <v>83.91</v>
      </c>
      <c r="AI19" s="2">
        <f t="shared" si="2"/>
        <v>0</v>
      </c>
    </row>
    <row r="20" spans="1:35" ht="16.2" customHeight="1" x14ac:dyDescent="0.3">
      <c r="AA20" s="2">
        <v>19</v>
      </c>
      <c r="AB20" s="2">
        <v>19.22</v>
      </c>
      <c r="AC20" s="2">
        <v>22.11</v>
      </c>
      <c r="AD20" s="2">
        <v>5.89</v>
      </c>
      <c r="AE20" s="2">
        <v>1.89</v>
      </c>
      <c r="AG20" s="2">
        <f t="shared" si="0"/>
        <v>83.13</v>
      </c>
      <c r="AH20" s="2">
        <v>83.13</v>
      </c>
      <c r="AI20" s="2">
        <f t="shared" si="2"/>
        <v>0</v>
      </c>
    </row>
    <row r="21" spans="1:35" ht="16.2" customHeight="1" x14ac:dyDescent="0.3">
      <c r="AA21" s="2">
        <v>20</v>
      </c>
      <c r="AB21" s="2">
        <v>19.22</v>
      </c>
      <c r="AC21" s="2">
        <v>19.440000000000001</v>
      </c>
      <c r="AD21" s="2">
        <v>5.89</v>
      </c>
      <c r="AE21" s="2">
        <v>1.89</v>
      </c>
      <c r="AG21" s="2">
        <f t="shared" si="0"/>
        <v>82.35</v>
      </c>
      <c r="AH21" s="2">
        <v>82.35</v>
      </c>
      <c r="AI21" s="2">
        <f t="shared" si="2"/>
        <v>0</v>
      </c>
    </row>
    <row r="22" spans="1:35" ht="16.2" customHeight="1" x14ac:dyDescent="0.3">
      <c r="A22" s="18"/>
    </row>
    <row r="23" spans="1:35" ht="16.2" customHeight="1" x14ac:dyDescent="0.3">
      <c r="A23" s="18"/>
    </row>
    <row r="24" spans="1:35" ht="16.2" customHeight="1" x14ac:dyDescent="0.3">
      <c r="A24" s="18"/>
    </row>
    <row r="25" spans="1:35" ht="16.2" customHeight="1" x14ac:dyDescent="0.3">
      <c r="A25" s="18"/>
    </row>
    <row r="26" spans="1:35" ht="16.2" customHeight="1" x14ac:dyDescent="0.3">
      <c r="A26" s="18"/>
    </row>
    <row r="27" spans="1:35" ht="16.2" customHeight="1" x14ac:dyDescent="0.3">
      <c r="A27" s="18"/>
    </row>
    <row r="28" spans="1:35" ht="16.2" customHeight="1" x14ac:dyDescent="0.3"/>
    <row r="29" spans="1:35" ht="16.2" customHeight="1" x14ac:dyDescent="0.3"/>
    <row r="30" spans="1:35" ht="16.2" customHeight="1" x14ac:dyDescent="0.3"/>
    <row r="31" spans="1:35" ht="16.2" customHeight="1" x14ac:dyDescent="0.3"/>
    <row r="32" spans="1:35" ht="16.2" customHeight="1" x14ac:dyDescent="0.3"/>
    <row r="33" spans="27:43" ht="16.2" customHeight="1" x14ac:dyDescent="0.3"/>
    <row r="34" spans="27:43" ht="16.2" customHeight="1" x14ac:dyDescent="0.3"/>
    <row r="35" spans="27:43" ht="16.2" customHeight="1" x14ac:dyDescent="0.3"/>
    <row r="36" spans="27:43" ht="16.2" customHeight="1" x14ac:dyDescent="0.3"/>
    <row r="37" spans="27:43" ht="15" customHeight="1" x14ac:dyDescent="0.35">
      <c r="AA37" s="19"/>
      <c r="AB37" s="20"/>
      <c r="AC37" s="18"/>
      <c r="AD37" s="18"/>
      <c r="AE37" s="18"/>
      <c r="AF37" s="18"/>
      <c r="AG37" s="18"/>
      <c r="AH37" s="18"/>
    </row>
    <row r="38" spans="27:43" ht="15" customHeight="1" x14ac:dyDescent="0.3">
      <c r="AB38" s="2" t="s">
        <v>12</v>
      </c>
      <c r="AC38" s="2" t="s">
        <v>10</v>
      </c>
      <c r="AE38" s="2" t="s">
        <v>11</v>
      </c>
      <c r="AF38" s="2" t="s">
        <v>3</v>
      </c>
      <c r="AG38" s="2" t="s">
        <v>4</v>
      </c>
      <c r="AH38" s="18"/>
      <c r="AJ38" s="2" t="s">
        <v>12</v>
      </c>
      <c r="AK38" s="2" t="s">
        <v>10</v>
      </c>
      <c r="AL38" s="2" t="s">
        <v>11</v>
      </c>
      <c r="AM38" s="2" t="s">
        <v>13</v>
      </c>
      <c r="AN38" s="2" t="s">
        <v>3</v>
      </c>
      <c r="AP38" s="2">
        <v>260</v>
      </c>
      <c r="AQ38" s="16">
        <v>28.11</v>
      </c>
    </row>
    <row r="39" spans="27:43" ht="15" customHeight="1" x14ac:dyDescent="0.3">
      <c r="AA39" s="15" t="s">
        <v>9</v>
      </c>
      <c r="AB39" s="2">
        <v>46</v>
      </c>
      <c r="AC39" s="2">
        <v>224</v>
      </c>
      <c r="AE39" s="2">
        <v>260</v>
      </c>
      <c r="AF39" s="2" t="e">
        <f>(AB39*7)+AC39+AE39+#REF!</f>
        <v>#REF!</v>
      </c>
      <c r="AG39" s="2">
        <v>903</v>
      </c>
      <c r="AH39" s="18"/>
      <c r="AI39" s="15" t="s">
        <v>9</v>
      </c>
      <c r="AJ39" s="2">
        <v>4.33</v>
      </c>
      <c r="AK39" s="2">
        <v>24.11</v>
      </c>
      <c r="AL39" s="2">
        <v>28.11</v>
      </c>
      <c r="AM39" s="2">
        <v>9.67</v>
      </c>
      <c r="AN39" s="2">
        <f>(AJ39*7)+AK39+AL39+AM39</f>
        <v>92.2</v>
      </c>
      <c r="AP39" s="2">
        <v>258</v>
      </c>
      <c r="AQ39" s="16">
        <v>27.89</v>
      </c>
    </row>
    <row r="40" spans="27:43" ht="15" customHeight="1" x14ac:dyDescent="0.3">
      <c r="AA40" s="2">
        <v>8</v>
      </c>
      <c r="AB40" s="2">
        <v>42</v>
      </c>
      <c r="AC40" s="2">
        <v>224</v>
      </c>
      <c r="AE40" s="2">
        <v>258</v>
      </c>
      <c r="AF40" s="2" t="e">
        <f>(AB40*AA40)+AC40+AE40+#REF!</f>
        <v>#REF!</v>
      </c>
      <c r="AH40" s="18"/>
      <c r="AI40" s="2">
        <v>8</v>
      </c>
      <c r="AJ40" s="2">
        <v>3.89</v>
      </c>
      <c r="AK40" s="2">
        <v>24.11</v>
      </c>
      <c r="AL40" s="2">
        <v>27.89</v>
      </c>
      <c r="AM40" s="2">
        <v>8.56</v>
      </c>
      <c r="AN40" s="2">
        <f t="shared" ref="AN40:AN52" si="3">(AJ40*AI40)+AK40+AL40+AM40</f>
        <v>91.68</v>
      </c>
      <c r="AP40" s="2">
        <v>254</v>
      </c>
      <c r="AQ40" s="16">
        <v>27.44</v>
      </c>
    </row>
    <row r="41" spans="27:43" ht="15" customHeight="1" x14ac:dyDescent="0.3">
      <c r="AA41" s="2">
        <v>9</v>
      </c>
      <c r="AB41" s="2">
        <v>38</v>
      </c>
      <c r="AC41" s="2">
        <v>224</v>
      </c>
      <c r="AE41" s="2">
        <v>252</v>
      </c>
      <c r="AF41" s="2" t="e">
        <f>(AB41*AA41)+AC41+AE41+#REF!</f>
        <v>#REF!</v>
      </c>
      <c r="AH41" s="18"/>
      <c r="AI41" s="2">
        <v>9</v>
      </c>
      <c r="AJ41" s="2">
        <v>3.44</v>
      </c>
      <c r="AK41" s="2">
        <v>24.11</v>
      </c>
      <c r="AL41" s="2">
        <v>27.22</v>
      </c>
      <c r="AM41" s="2">
        <v>8.56</v>
      </c>
      <c r="AN41" s="2">
        <f t="shared" si="3"/>
        <v>90.85</v>
      </c>
      <c r="AP41" s="2">
        <v>252</v>
      </c>
      <c r="AQ41" s="16">
        <v>27.22</v>
      </c>
    </row>
    <row r="42" spans="27:43" ht="15" customHeight="1" x14ac:dyDescent="0.3">
      <c r="AA42" s="2">
        <v>10</v>
      </c>
      <c r="AB42" s="2">
        <v>34</v>
      </c>
      <c r="AC42" s="2">
        <v>224</v>
      </c>
      <c r="AE42" s="2">
        <v>254</v>
      </c>
      <c r="AF42" s="2" t="e">
        <f>(AB42*AA42)+AC42+AE42+#REF!</f>
        <v>#REF!</v>
      </c>
      <c r="AH42" s="18"/>
      <c r="AI42" s="2">
        <v>10</v>
      </c>
      <c r="AJ42" s="2">
        <v>3</v>
      </c>
      <c r="AK42" s="2">
        <v>24.11</v>
      </c>
      <c r="AL42" s="2">
        <v>27.44</v>
      </c>
      <c r="AM42" s="2">
        <v>8.56</v>
      </c>
      <c r="AN42" s="2">
        <f t="shared" si="3"/>
        <v>90.11</v>
      </c>
      <c r="AP42" s="2">
        <v>244</v>
      </c>
      <c r="AQ42" s="16">
        <v>26.33</v>
      </c>
    </row>
    <row r="43" spans="27:43" ht="15" customHeight="1" x14ac:dyDescent="0.3">
      <c r="AA43" s="2">
        <v>11</v>
      </c>
      <c r="AB43" s="2">
        <v>32</v>
      </c>
      <c r="AC43" s="2">
        <v>224</v>
      </c>
      <c r="AE43" s="2">
        <v>242</v>
      </c>
      <c r="AF43" s="2" t="e">
        <f>(AB43*AA43)+AC43+AE43+#REF!</f>
        <v>#REF!</v>
      </c>
      <c r="AH43" s="18"/>
      <c r="AI43" s="2">
        <v>11</v>
      </c>
      <c r="AJ43" s="2">
        <v>2.78</v>
      </c>
      <c r="AK43" s="2">
        <v>24.11</v>
      </c>
      <c r="AL43" s="2">
        <v>26.11</v>
      </c>
      <c r="AM43" s="2">
        <v>8.56</v>
      </c>
      <c r="AN43" s="2">
        <f t="shared" si="3"/>
        <v>89.36</v>
      </c>
      <c r="AP43" s="2">
        <v>242</v>
      </c>
      <c r="AQ43" s="16">
        <v>26.11</v>
      </c>
    </row>
    <row r="44" spans="27:43" ht="15" customHeight="1" x14ac:dyDescent="0.3">
      <c r="AA44" s="2">
        <v>12</v>
      </c>
      <c r="AB44" s="2">
        <v>30</v>
      </c>
      <c r="AC44" s="2">
        <v>218</v>
      </c>
      <c r="AE44" s="2">
        <v>240</v>
      </c>
      <c r="AF44" s="2" t="e">
        <f>(AB44*AA44)+AC44+AE44+#REF!</f>
        <v>#REF!</v>
      </c>
      <c r="AH44" s="18"/>
      <c r="AI44" s="2">
        <v>12</v>
      </c>
      <c r="AJ44" s="2">
        <v>2.56</v>
      </c>
      <c r="AK44" s="2">
        <v>23.44</v>
      </c>
      <c r="AL44" s="2">
        <v>25.89</v>
      </c>
      <c r="AM44" s="2">
        <v>8.56</v>
      </c>
      <c r="AN44" s="2">
        <f t="shared" si="3"/>
        <v>88.61</v>
      </c>
      <c r="AP44" s="2">
        <v>240</v>
      </c>
      <c r="AQ44" s="16">
        <v>25.89</v>
      </c>
    </row>
    <row r="45" spans="27:43" ht="15" customHeight="1" x14ac:dyDescent="0.3">
      <c r="AA45" s="2">
        <v>13</v>
      </c>
      <c r="AB45" s="2">
        <v>28</v>
      </c>
      <c r="AC45" s="2">
        <v>214</v>
      </c>
      <c r="AE45" s="2">
        <v>240</v>
      </c>
      <c r="AF45" s="2" t="e">
        <f>(AB45*AA45)+AC45+AE45+#REF!</f>
        <v>#REF!</v>
      </c>
      <c r="AH45" s="18"/>
      <c r="AI45" s="2">
        <v>13</v>
      </c>
      <c r="AJ45" s="2">
        <v>2.33</v>
      </c>
      <c r="AK45" s="2">
        <v>23</v>
      </c>
      <c r="AL45" s="2">
        <v>25.89</v>
      </c>
      <c r="AM45" s="2">
        <v>8.56</v>
      </c>
      <c r="AN45" s="2">
        <f t="shared" si="3"/>
        <v>87.740000000000009</v>
      </c>
      <c r="AP45" s="2">
        <v>226</v>
      </c>
      <c r="AQ45" s="16">
        <v>24.33</v>
      </c>
    </row>
    <row r="46" spans="27:43" ht="15" customHeight="1" x14ac:dyDescent="0.3">
      <c r="AA46" s="2">
        <v>14</v>
      </c>
      <c r="AB46" s="2">
        <v>27</v>
      </c>
      <c r="AC46" s="2">
        <v>200</v>
      </c>
      <c r="AE46" s="2">
        <v>240</v>
      </c>
      <c r="AF46" s="2" t="e">
        <f>(AB46*AA46)+AC46+AE46+#REF!</f>
        <v>#REF!</v>
      </c>
      <c r="AH46" s="18"/>
      <c r="AI46" s="2">
        <v>14</v>
      </c>
      <c r="AJ46" s="2">
        <v>2.2200000000000002</v>
      </c>
      <c r="AK46" s="2">
        <v>21.44</v>
      </c>
      <c r="AL46" s="2">
        <v>25.89</v>
      </c>
      <c r="AM46" s="2">
        <v>8.56</v>
      </c>
      <c r="AN46" s="2">
        <f t="shared" si="3"/>
        <v>86.97</v>
      </c>
      <c r="AP46" s="2">
        <v>224</v>
      </c>
      <c r="AQ46" s="17">
        <v>24.11</v>
      </c>
    </row>
    <row r="47" spans="27:43" ht="15" customHeight="1" x14ac:dyDescent="0.3">
      <c r="AA47" s="2">
        <v>15</v>
      </c>
      <c r="AB47" s="2">
        <v>25</v>
      </c>
      <c r="AC47" s="2">
        <v>200</v>
      </c>
      <c r="AE47" s="2">
        <v>244</v>
      </c>
      <c r="AF47" s="2" t="e">
        <f>(AB47*AA47)+AC47+AE47+#REF!</f>
        <v>#REF!</v>
      </c>
      <c r="AH47" s="18"/>
      <c r="AI47" s="2">
        <v>15</v>
      </c>
      <c r="AJ47" s="2">
        <v>2</v>
      </c>
      <c r="AK47" s="2">
        <v>21.44</v>
      </c>
      <c r="AL47" s="2">
        <v>26.33</v>
      </c>
      <c r="AM47" s="2">
        <v>8.44</v>
      </c>
      <c r="AN47" s="2">
        <f t="shared" si="3"/>
        <v>86.21</v>
      </c>
      <c r="AP47" s="2">
        <v>218</v>
      </c>
      <c r="AQ47" s="16">
        <v>23.44</v>
      </c>
    </row>
    <row r="48" spans="27:43" ht="15" customHeight="1" x14ac:dyDescent="0.3">
      <c r="AA48" s="2">
        <v>16</v>
      </c>
      <c r="AB48" s="2">
        <v>24</v>
      </c>
      <c r="AC48" s="2">
        <v>200</v>
      </c>
      <c r="AE48" s="2">
        <v>240</v>
      </c>
      <c r="AF48" s="2" t="e">
        <f>(AB48*AA48)+AC48+AE48+#REF!</f>
        <v>#REF!</v>
      </c>
      <c r="AH48" s="18"/>
      <c r="AI48" s="2">
        <v>16</v>
      </c>
      <c r="AJ48" s="2">
        <v>1.89</v>
      </c>
      <c r="AK48" s="2">
        <v>21.44</v>
      </c>
      <c r="AL48" s="2">
        <v>25.89</v>
      </c>
      <c r="AM48" s="2">
        <v>7.89</v>
      </c>
      <c r="AN48" s="2">
        <f t="shared" si="3"/>
        <v>85.46</v>
      </c>
      <c r="AP48" s="2">
        <v>214</v>
      </c>
      <c r="AQ48" s="16">
        <v>23</v>
      </c>
    </row>
    <row r="49" spans="27:43" ht="15" customHeight="1" x14ac:dyDescent="0.3">
      <c r="AA49" s="2">
        <v>17</v>
      </c>
      <c r="AB49" s="2">
        <v>24</v>
      </c>
      <c r="AC49" s="2">
        <v>200</v>
      </c>
      <c r="AE49" s="2">
        <v>226</v>
      </c>
      <c r="AF49" s="2" t="e">
        <f>(AB49*AA49)+AC49+AE49+#REF!</f>
        <v>#REF!</v>
      </c>
      <c r="AH49" s="18"/>
      <c r="AI49" s="2">
        <v>17</v>
      </c>
      <c r="AJ49" s="2">
        <v>1.89</v>
      </c>
      <c r="AK49" s="2">
        <v>21.44</v>
      </c>
      <c r="AL49" s="2">
        <v>24.33</v>
      </c>
      <c r="AM49" s="2">
        <v>6.78</v>
      </c>
      <c r="AN49" s="2">
        <f t="shared" si="3"/>
        <v>84.679999999999993</v>
      </c>
      <c r="AP49" s="2">
        <v>206</v>
      </c>
      <c r="AQ49" s="16">
        <v>22.11</v>
      </c>
    </row>
    <row r="50" spans="27:43" ht="15" customHeight="1" x14ac:dyDescent="0.3">
      <c r="AA50" s="2">
        <v>18</v>
      </c>
      <c r="AB50" s="2">
        <v>24</v>
      </c>
      <c r="AC50" s="2">
        <v>190</v>
      </c>
      <c r="AE50" s="2">
        <v>220</v>
      </c>
      <c r="AF50" s="2" t="e">
        <f>(AB50*AA50)+AC50+AE50+#REF!</f>
        <v>#REF!</v>
      </c>
      <c r="AH50" s="18"/>
      <c r="AI50" s="2">
        <v>18</v>
      </c>
      <c r="AJ50" s="2">
        <v>1.89</v>
      </c>
      <c r="AK50" s="2">
        <v>20.329999999999998</v>
      </c>
      <c r="AL50" s="2">
        <v>23.67</v>
      </c>
      <c r="AM50" s="2">
        <v>5.89</v>
      </c>
      <c r="AN50" s="2">
        <f t="shared" si="3"/>
        <v>83.91</v>
      </c>
      <c r="AP50" s="2">
        <v>200</v>
      </c>
      <c r="AQ50" s="16">
        <v>21.44</v>
      </c>
    </row>
    <row r="51" spans="27:43" ht="15" customHeight="1" x14ac:dyDescent="0.3">
      <c r="AA51" s="2">
        <v>19</v>
      </c>
      <c r="AB51" s="2">
        <v>24</v>
      </c>
      <c r="AC51" s="2">
        <v>180</v>
      </c>
      <c r="AE51" s="2">
        <v>206</v>
      </c>
      <c r="AF51" s="2" t="e">
        <f>(AB51*AA51)+AC51+AE51+#REF!</f>
        <v>#REF!</v>
      </c>
      <c r="AH51" s="18"/>
      <c r="AI51" s="2">
        <v>19</v>
      </c>
      <c r="AJ51" s="2">
        <v>1.89</v>
      </c>
      <c r="AK51" s="2">
        <v>19.22</v>
      </c>
      <c r="AL51" s="2">
        <v>22.11</v>
      </c>
      <c r="AM51" s="2">
        <v>5.89</v>
      </c>
      <c r="AN51" s="2">
        <f t="shared" si="3"/>
        <v>83.13</v>
      </c>
      <c r="AP51" s="2">
        <v>190</v>
      </c>
      <c r="AQ51" s="16">
        <v>20.329999999999998</v>
      </c>
    </row>
    <row r="52" spans="27:43" ht="15" customHeight="1" x14ac:dyDescent="0.3">
      <c r="AA52" s="2">
        <v>20</v>
      </c>
      <c r="AB52" s="2">
        <v>24</v>
      </c>
      <c r="AC52" s="2">
        <v>180</v>
      </c>
      <c r="AE52" s="2">
        <v>182</v>
      </c>
      <c r="AF52" s="2" t="e">
        <f>(AB52*AA52)+AC52+AE52+#REF!</f>
        <v>#REF!</v>
      </c>
      <c r="AH52" s="18"/>
      <c r="AI52" s="2">
        <v>20</v>
      </c>
      <c r="AJ52" s="2">
        <v>1.89</v>
      </c>
      <c r="AK52" s="2">
        <v>19.22</v>
      </c>
      <c r="AL52" s="2">
        <v>19.440000000000001</v>
      </c>
      <c r="AM52" s="2">
        <v>5.89</v>
      </c>
      <c r="AN52" s="2">
        <f t="shared" si="3"/>
        <v>82.35</v>
      </c>
      <c r="AP52" s="10">
        <v>182</v>
      </c>
      <c r="AQ52" s="16">
        <v>19.440000000000001</v>
      </c>
    </row>
    <row r="53" spans="27:43" ht="15" customHeight="1" x14ac:dyDescent="0.3">
      <c r="AA53" s="18"/>
      <c r="AB53" s="20"/>
      <c r="AC53" s="18"/>
      <c r="AD53" s="18"/>
      <c r="AE53" s="18"/>
      <c r="AF53" s="18"/>
      <c r="AG53" s="18"/>
      <c r="AH53" s="18"/>
      <c r="AP53" s="2">
        <v>180</v>
      </c>
      <c r="AQ53" s="16">
        <v>19.22</v>
      </c>
    </row>
    <row r="54" spans="27:43" ht="15" customHeight="1" x14ac:dyDescent="0.3">
      <c r="AA54" s="18"/>
      <c r="AB54" s="20"/>
      <c r="AC54" s="18"/>
      <c r="AD54" s="18"/>
      <c r="AE54" s="18"/>
      <c r="AF54" s="18"/>
      <c r="AG54" s="18"/>
      <c r="AH54" s="18"/>
      <c r="AP54" s="2">
        <v>94</v>
      </c>
      <c r="AQ54" s="16">
        <v>9.67</v>
      </c>
    </row>
    <row r="55" spans="27:43" ht="15" customHeight="1" x14ac:dyDescent="0.3">
      <c r="AA55" s="18"/>
      <c r="AB55" s="20"/>
      <c r="AC55" s="18"/>
      <c r="AD55" s="18"/>
      <c r="AE55" s="18"/>
      <c r="AF55" s="18"/>
      <c r="AG55" s="18"/>
      <c r="AH55" s="18"/>
      <c r="AP55" s="2">
        <v>84</v>
      </c>
      <c r="AQ55" s="16">
        <v>8.56</v>
      </c>
    </row>
    <row r="56" spans="27:43" ht="15" customHeight="1" x14ac:dyDescent="0.3">
      <c r="AA56" s="18"/>
      <c r="AB56" s="20"/>
      <c r="AC56" s="18"/>
      <c r="AD56" s="18"/>
      <c r="AE56" s="18"/>
      <c r="AF56" s="18"/>
      <c r="AG56" s="18"/>
      <c r="AH56" s="18"/>
      <c r="AP56" s="2">
        <v>83</v>
      </c>
      <c r="AQ56" s="16">
        <v>8.44</v>
      </c>
    </row>
    <row r="57" spans="27:43" ht="15" customHeight="1" x14ac:dyDescent="0.3">
      <c r="AA57" s="18"/>
      <c r="AB57" s="20"/>
      <c r="AC57" s="18"/>
      <c r="AD57" s="18"/>
      <c r="AE57" s="18"/>
      <c r="AF57" s="18"/>
      <c r="AG57" s="18"/>
      <c r="AH57" s="18"/>
      <c r="AP57" s="2">
        <v>78</v>
      </c>
      <c r="AQ57" s="16">
        <v>7.89</v>
      </c>
    </row>
    <row r="58" spans="27:43" ht="15" customHeight="1" x14ac:dyDescent="0.3">
      <c r="AA58" s="7"/>
      <c r="AB58" s="3"/>
      <c r="AP58" s="2">
        <v>68</v>
      </c>
      <c r="AQ58" s="16">
        <v>6.78</v>
      </c>
    </row>
    <row r="59" spans="27:43" ht="15" customHeight="1" x14ac:dyDescent="0.3">
      <c r="AA59" s="7"/>
      <c r="AB59" s="3"/>
      <c r="AP59" s="2">
        <v>60</v>
      </c>
      <c r="AQ59" s="16">
        <v>5.89</v>
      </c>
    </row>
    <row r="60" spans="27:43" ht="15" customHeight="1" x14ac:dyDescent="0.3">
      <c r="AA60" s="7"/>
      <c r="AB60" s="3"/>
      <c r="AP60" s="2">
        <v>46</v>
      </c>
      <c r="AQ60" s="16">
        <v>4.33</v>
      </c>
    </row>
    <row r="61" spans="27:43" ht="15" customHeight="1" x14ac:dyDescent="0.3">
      <c r="AA61" s="7"/>
      <c r="AB61" s="3"/>
      <c r="AP61" s="2">
        <v>42</v>
      </c>
      <c r="AQ61" s="16">
        <v>3.89</v>
      </c>
    </row>
    <row r="62" spans="27:43" ht="15" customHeight="1" x14ac:dyDescent="0.3">
      <c r="AA62" s="7"/>
      <c r="AB62" s="3"/>
      <c r="AP62" s="2">
        <v>38</v>
      </c>
      <c r="AQ62" s="16">
        <v>3.44</v>
      </c>
    </row>
    <row r="63" spans="27:43" ht="15" customHeight="1" x14ac:dyDescent="0.3">
      <c r="AA63" s="7"/>
      <c r="AB63" s="3"/>
      <c r="AP63" s="2">
        <v>34</v>
      </c>
      <c r="AQ63" s="16">
        <v>3</v>
      </c>
    </row>
    <row r="64" spans="27:43" ht="15" customHeight="1" x14ac:dyDescent="0.3">
      <c r="AA64" s="7"/>
      <c r="AB64" s="3"/>
      <c r="AP64" s="2">
        <v>32</v>
      </c>
      <c r="AQ64" s="16">
        <v>2.78</v>
      </c>
    </row>
    <row r="65" spans="27:43" ht="15" customHeight="1" x14ac:dyDescent="0.3">
      <c r="AA65" s="7"/>
      <c r="AB65" s="3"/>
      <c r="AP65" s="2">
        <v>30</v>
      </c>
      <c r="AQ65" s="16">
        <v>2.56</v>
      </c>
    </row>
    <row r="66" spans="27:43" ht="15" customHeight="1" x14ac:dyDescent="0.3">
      <c r="AA66" s="7"/>
      <c r="AB66" s="3"/>
      <c r="AP66" s="2">
        <v>28</v>
      </c>
      <c r="AQ66" s="16">
        <v>2.33</v>
      </c>
    </row>
    <row r="67" spans="27:43" ht="15" customHeight="1" x14ac:dyDescent="0.3">
      <c r="AA67" s="7"/>
      <c r="AB67" s="3"/>
      <c r="AP67" s="2">
        <v>27</v>
      </c>
      <c r="AQ67" s="16">
        <v>2.2200000000000002</v>
      </c>
    </row>
    <row r="68" spans="27:43" ht="15" customHeight="1" x14ac:dyDescent="0.3">
      <c r="AA68" s="7"/>
      <c r="AB68" s="3"/>
      <c r="AP68" s="2">
        <v>25</v>
      </c>
      <c r="AQ68" s="16">
        <v>2</v>
      </c>
    </row>
    <row r="69" spans="27:43" ht="15" customHeight="1" x14ac:dyDescent="0.3">
      <c r="AP69" s="2">
        <v>24</v>
      </c>
      <c r="AQ69" s="16">
        <v>1.89</v>
      </c>
    </row>
  </sheetData>
  <conditionalFormatting sqref="AI2:AI21">
    <cfRule type="cellIs" dxfId="0" priority="1" operator="greaterThan">
      <formula>0</formula>
    </cfRule>
  </conditionalFormatting>
  <printOptions horizontalCentered="1"/>
  <pageMargins left="0.19685039370078741" right="0.19685039370078741" top="0.39370078740157483" bottom="0.39370078740157483" header="0" footer="0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3</vt:i4>
      </vt:variant>
      <vt:variant>
        <vt:lpstr>Іменовані діапазони</vt:lpstr>
      </vt:variant>
      <vt:variant>
        <vt:i4>1</vt:i4>
      </vt:variant>
    </vt:vector>
  </HeadingPairs>
  <TitlesOfParts>
    <vt:vector size="4" baseType="lpstr">
      <vt:lpstr>2024-11</vt:lpstr>
      <vt:lpstr>FAQ</vt:lpstr>
      <vt:lpstr>Settings</vt:lpstr>
      <vt:lpstr>'2024-11'!Область_друку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wz</cp:lastModifiedBy>
  <dcterms:created xsi:type="dcterms:W3CDTF">2024-11-04T15:37:48Z</dcterms:created>
  <dcterms:modified xsi:type="dcterms:W3CDTF">2024-11-04T15:57:36Z</dcterms:modified>
</cp:coreProperties>
</file>